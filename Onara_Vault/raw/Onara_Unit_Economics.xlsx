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 Econom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0.0"/>
    <numFmt numFmtId="167" formatCode="0.0&quot;x&quot;"/>
    <numFmt numFmtId="168" formatCode="0.0 &quot;months&quot;"/>
  </numFmts>
  <fonts count="9">
    <font>
      <name val="Calibri"/>
      <family val="2"/>
      <color theme="1"/>
      <sz val="11"/>
      <scheme val="minor"/>
    </font>
    <font>
      <name val="Arial"/>
      <b val="1"/>
      <color rgb="003B1F0E"/>
      <sz val="18"/>
    </font>
    <font>
      <name val="Arial"/>
      <color rgb="00C4A882"/>
      <sz val="10"/>
    </font>
    <font>
      <name val="Arial"/>
      <b val="1"/>
      <color rgb="00FFFFFF"/>
      <sz val="11"/>
    </font>
    <font>
      <name val="Arial"/>
      <b val="1"/>
      <color rgb="006B3F20"/>
      <sz val="10"/>
    </font>
    <font>
      <name val="Arial"/>
      <color rgb="002A1508"/>
      <sz val="10"/>
    </font>
    <font>
      <name val="Arial"/>
      <b val="1"/>
      <color rgb="002980B9"/>
      <sz val="10"/>
    </font>
    <font>
      <name val="Arial"/>
      <color rgb="00C4A882"/>
      <sz val="9"/>
    </font>
    <font>
      <name val="Arial"/>
      <b val="1"/>
      <color rgb="002A1508"/>
      <sz val="10"/>
    </font>
  </fonts>
  <fills count="6">
    <fill>
      <patternFill/>
    </fill>
    <fill>
      <patternFill patternType="gray125"/>
    </fill>
    <fill>
      <patternFill patternType="solid">
        <fgColor rgb="003B1F0E"/>
      </patternFill>
    </fill>
    <fill>
      <patternFill patternType="solid">
        <fgColor rgb="00EBF5FB"/>
      </patternFill>
    </fill>
    <fill>
      <patternFill patternType="solid">
        <fgColor rgb="00FDF8F0"/>
      </patternFill>
    </fill>
    <fill>
      <patternFill patternType="solid">
        <fgColor rgb="00D4A853"/>
      </patternFill>
    </fill>
  </fills>
  <borders count="2">
    <border>
      <left/>
      <right/>
      <top/>
      <bottom/>
      <diagonal/>
    </border>
    <border>
      <left style="thin">
        <color rgb="00C4A882"/>
      </left>
      <right style="thin">
        <color rgb="00C4A882"/>
      </right>
      <top style="thin">
        <color rgb="00C4A882"/>
      </top>
      <bottom style="thin">
        <color rgb="00C4A88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pivotButton="0" quotePrefix="0" xfId="0"/>
    <xf numFmtId="0" fontId="5" fillId="0" borderId="1" applyAlignment="1" pivotButton="0" quotePrefix="0" xfId="0">
      <alignment horizontal="left" vertical="center"/>
    </xf>
    <xf numFmtId="164" fontId="6" fillId="3" borderId="1" applyAlignment="1" pivotButton="0" quotePrefix="0" xfId="0">
      <alignment horizontal="right" vertical="center"/>
    </xf>
    <xf numFmtId="0" fontId="7" fillId="0" borderId="1" pivotButton="0" quotePrefix="0" xfId="0"/>
    <xf numFmtId="165" fontId="6" fillId="3" borderId="1" applyAlignment="1" pivotButton="0" quotePrefix="0" xfId="0">
      <alignment horizontal="right" vertical="center"/>
    </xf>
    <xf numFmtId="166" fontId="5" fillId="0" borderId="1" applyAlignment="1" pivotButton="0" quotePrefix="0" xfId="0">
      <alignment horizontal="right" vertical="center"/>
    </xf>
    <xf numFmtId="164" fontId="5" fillId="4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/>
    </xf>
    <xf numFmtId="164" fontId="8" fillId="5" borderId="1" applyAlignment="1" pivotButton="0" quotePrefix="0" xfId="0">
      <alignment horizontal="right" vertical="center"/>
    </xf>
    <xf numFmtId="167" fontId="8" fillId="5" borderId="1" applyAlignment="1" pivotButton="0" quotePrefix="0" xfId="0">
      <alignment horizontal="right" vertical="center"/>
    </xf>
    <xf numFmtId="1" fontId="8" fillId="5" borderId="1" applyAlignment="1" pivotButton="0" quotePrefix="0" xfId="0">
      <alignment horizontal="right" vertical="center"/>
    </xf>
    <xf numFmtId="168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  <col width="20" customWidth="1" min="4" max="4"/>
    <col width="28" customWidth="1" min="5" max="5"/>
  </cols>
  <sheetData>
    <row r="1">
      <c r="A1" s="1" t="inlineStr">
        <is>
          <t>Onara — Unit Economics &amp; LTV/CAC Analysis</t>
        </is>
      </c>
    </row>
    <row r="2">
      <c r="A2" s="2" t="inlineStr">
        <is>
          <t>Blue cells = inputs. Update as you gather real data.</t>
        </is>
      </c>
    </row>
    <row r="4">
      <c r="A4" s="3" t="inlineStr">
        <is>
          <t>Metric</t>
        </is>
      </c>
      <c r="B4" s="3" t="inlineStr">
        <is>
          <t>Free Plan</t>
        </is>
      </c>
      <c r="C4" s="3" t="inlineStr">
        <is>
          <t>Starter ($12)</t>
        </is>
      </c>
      <c r="D4" s="3" t="inlineStr">
        <is>
          <t>Pro ($29)</t>
        </is>
      </c>
      <c r="E4" s="3" t="inlineStr">
        <is>
          <t>Notes</t>
        </is>
      </c>
    </row>
    <row r="5">
      <c r="A5" s="4" t="n"/>
      <c r="B5" s="4" t="n"/>
      <c r="C5" s="4" t="n"/>
      <c r="D5" s="4" t="n"/>
      <c r="E5" s="4" t="n"/>
    </row>
    <row r="6">
      <c r="A6" s="5" t="inlineStr">
        <is>
          <t>── ACQUISITION</t>
        </is>
      </c>
      <c r="B6" s="4" t="n"/>
      <c r="C6" s="4" t="n"/>
      <c r="D6" s="4" t="n"/>
      <c r="E6" s="4" t="n"/>
    </row>
    <row r="7">
      <c r="A7" s="6" t="inlineStr">
        <is>
          <t>Cost to acquire free user</t>
        </is>
      </c>
      <c r="B7" s="7" t="n">
        <v>0</v>
      </c>
      <c r="C7" s="4" t="n"/>
      <c r="D7" s="4" t="n"/>
      <c r="E7" s="8" t="inlineStr">
        <is>
          <t>Cold outbound time cost only</t>
        </is>
      </c>
    </row>
    <row r="8">
      <c r="A8" s="4" t="n"/>
      <c r="B8" s="6" t="inlineStr">
        <is>
          <t>CAC — Starter</t>
        </is>
      </c>
      <c r="C8" s="7" t="n">
        <v>25</v>
      </c>
      <c r="D8" s="4" t="n"/>
      <c r="E8" s="8" t="inlineStr">
        <is>
          <t>~2.5 hours @ $10/hr cold outbound</t>
        </is>
      </c>
    </row>
    <row r="9">
      <c r="A9" s="4" t="n"/>
      <c r="B9" s="4" t="n"/>
      <c r="C9" s="6" t="inlineStr">
        <is>
          <t>CAC — Pro</t>
        </is>
      </c>
      <c r="D9" s="7" t="n">
        <v>25</v>
      </c>
      <c r="E9" s="8" t="inlineStr">
        <is>
          <t>Same cost, higher value customer</t>
        </is>
      </c>
    </row>
    <row r="10">
      <c r="A10" s="4" t="n"/>
      <c r="B10" s="4" t="n"/>
      <c r="C10" s="4" t="n"/>
      <c r="D10" s="4" t="n"/>
      <c r="E10" s="4" t="n"/>
    </row>
    <row r="11">
      <c r="A11" s="5" t="inlineStr">
        <is>
          <t>── RETENTION</t>
        </is>
      </c>
      <c r="B11" s="4" t="n"/>
      <c r="C11" s="4" t="n"/>
      <c r="D11" s="4" t="n"/>
      <c r="E11" s="4" t="n"/>
    </row>
    <row r="12">
      <c r="A12" s="6" t="inlineStr">
        <is>
          <t>Monthly churn — Free</t>
        </is>
      </c>
      <c r="B12" s="9" t="n">
        <v>0.05</v>
      </c>
      <c r="C12" s="4" t="n"/>
      <c r="D12" s="4" t="n"/>
      <c r="E12" s="4" t="n"/>
    </row>
    <row r="13">
      <c r="A13" s="4" t="n"/>
      <c r="B13" s="6" t="inlineStr">
        <is>
          <t>Monthly churn — Starter</t>
        </is>
      </c>
      <c r="C13" s="9" t="n">
        <v>0.06</v>
      </c>
      <c r="D13" s="4" t="n"/>
      <c r="E13" s="4" t="n"/>
    </row>
    <row r="14">
      <c r="A14" s="4" t="n"/>
      <c r="B14" s="4" t="n"/>
      <c r="C14" s="6" t="inlineStr">
        <is>
          <t>Monthly churn — Pro</t>
        </is>
      </c>
      <c r="D14" s="9" t="n">
        <v>0.04</v>
      </c>
      <c r="E14" s="4" t="n"/>
    </row>
    <row r="15">
      <c r="A15" s="4" t="n"/>
      <c r="B15" s="6" t="inlineStr">
        <is>
          <t>Avg months retained — Starter</t>
        </is>
      </c>
      <c r="C15" s="10">
        <f>1/C13</f>
        <v/>
      </c>
      <c r="D15" s="4" t="n"/>
      <c r="E15" s="4" t="n"/>
    </row>
    <row r="16">
      <c r="A16" s="4" t="n"/>
      <c r="B16" s="4" t="n"/>
      <c r="C16" s="6" t="inlineStr">
        <is>
          <t>Avg months retained — Pro</t>
        </is>
      </c>
      <c r="D16" s="10">
        <f>1/C14</f>
        <v/>
      </c>
      <c r="E16" s="4" t="n"/>
    </row>
    <row r="17">
      <c r="A17" s="4" t="n"/>
      <c r="B17" s="4" t="n"/>
      <c r="C17" s="4" t="n"/>
      <c r="D17" s="4" t="n"/>
      <c r="E17" s="4" t="n"/>
    </row>
    <row r="18">
      <c r="A18" s="5" t="inlineStr">
        <is>
          <t>── REVENUE</t>
        </is>
      </c>
      <c r="B18" s="4" t="n"/>
      <c r="C18" s="4" t="n"/>
      <c r="D18" s="4" t="n"/>
      <c r="E18" s="4" t="n"/>
    </row>
    <row r="19">
      <c r="A19" s="6" t="inlineStr">
        <is>
          <t>Monthly revenue — Free</t>
        </is>
      </c>
      <c r="B19" s="11" t="n">
        <v>0</v>
      </c>
      <c r="C19" s="4" t="n"/>
      <c r="D19" s="4" t="n"/>
      <c r="E19" s="4" t="n"/>
    </row>
    <row r="20">
      <c r="A20" s="4" t="n"/>
      <c r="B20" s="6" t="inlineStr">
        <is>
          <t>Monthly revenue — Starter</t>
        </is>
      </c>
      <c r="C20" s="11" t="n">
        <v>12</v>
      </c>
      <c r="D20" s="4" t="n"/>
      <c r="E20" s="4" t="n"/>
    </row>
    <row r="21">
      <c r="A21" s="4" t="n"/>
      <c r="B21" s="4" t="n"/>
      <c r="C21" s="6" t="inlineStr">
        <is>
          <t>Monthly revenue — Pro</t>
        </is>
      </c>
      <c r="D21" s="11" t="n">
        <v>29</v>
      </c>
      <c r="E21" s="4" t="n"/>
    </row>
    <row r="22">
      <c r="A22" s="4" t="n"/>
      <c r="B22" s="12" t="inlineStr">
        <is>
          <t>LTV — Starter</t>
        </is>
      </c>
      <c r="C22" s="13">
        <f>C20*C15</f>
        <v/>
      </c>
      <c r="D22" s="4" t="n"/>
      <c r="E22" s="8" t="inlineStr">
        <is>
          <t>Lifetime Value = MRR × Avg months</t>
        </is>
      </c>
    </row>
    <row r="23">
      <c r="A23" s="4" t="n"/>
      <c r="B23" s="4" t="n"/>
      <c r="C23" s="12" t="inlineStr">
        <is>
          <t>LTV — Pro</t>
        </is>
      </c>
      <c r="D23" s="13">
        <f>D21*D16</f>
        <v/>
      </c>
      <c r="E23" s="4" t="n"/>
    </row>
    <row r="24">
      <c r="A24" s="4" t="n"/>
      <c r="B24" s="4" t="n"/>
      <c r="C24" s="4" t="n"/>
      <c r="D24" s="4" t="n"/>
      <c r="E24" s="4" t="n"/>
    </row>
    <row r="25">
      <c r="A25" s="5" t="inlineStr">
        <is>
          <t>── LTV:CAC RATIO (target &gt; 3:1)</t>
        </is>
      </c>
      <c r="B25" s="4" t="n"/>
      <c r="C25" s="4" t="n"/>
      <c r="D25" s="4" t="n"/>
      <c r="E25" s="4" t="n"/>
    </row>
    <row r="26">
      <c r="A26" s="4" t="n"/>
      <c r="B26" s="12" t="inlineStr">
        <is>
          <t>LTV:CAC — Starter</t>
        </is>
      </c>
      <c r="C26" s="14">
        <f>IFERROR(C22/C8,"-")</f>
        <v/>
      </c>
      <c r="D26" s="4" t="n"/>
      <c r="E26" s="8" t="inlineStr">
        <is>
          <t>&gt; 3x = healthy. &gt; 5x = great.</t>
        </is>
      </c>
    </row>
    <row r="27">
      <c r="A27" s="4" t="n"/>
      <c r="B27" s="4" t="n"/>
      <c r="C27" s="12" t="inlineStr">
        <is>
          <t>LTV:CAC — Pro</t>
        </is>
      </c>
      <c r="D27" s="14">
        <f>IFERROR(D23/D9,"-")</f>
        <v/>
      </c>
      <c r="E27" s="4" t="n"/>
    </row>
    <row r="28">
      <c r="A28" s="4" t="n"/>
      <c r="B28" s="4" t="n"/>
      <c r="C28" s="4" t="n"/>
      <c r="D28" s="4" t="n"/>
      <c r="E28" s="4" t="n"/>
    </row>
    <row r="29">
      <c r="A29" s="5" t="inlineStr">
        <is>
          <t>── BREAKEVEN</t>
        </is>
      </c>
      <c r="B29" s="4" t="n"/>
      <c r="C29" s="4" t="n"/>
      <c r="D29" s="4" t="n"/>
      <c r="E29" s="4" t="n"/>
    </row>
    <row r="30">
      <c r="A30" s="6" t="inlineStr">
        <is>
          <t>Fixed monthly costs ($)</t>
        </is>
      </c>
      <c r="B30" s="7" t="n">
        <v>200</v>
      </c>
      <c r="C30" s="4" t="n"/>
      <c r="D30" s="4" t="n"/>
      <c r="E30" s="4" t="n"/>
    </row>
    <row r="31">
      <c r="A31" s="4" t="n"/>
      <c r="B31" s="12" t="inlineStr">
        <is>
          <t>Starter subscribers to break even</t>
        </is>
      </c>
      <c r="C31" s="15">
        <f>CEILING(B30/C20,1)</f>
        <v/>
      </c>
      <c r="D31" s="4" t="n"/>
      <c r="E31" s="8">
        <f> Fixed costs / Starter MRR</f>
        <v/>
      </c>
    </row>
    <row r="32">
      <c r="A32" s="4" t="n"/>
      <c r="B32" s="4" t="n"/>
      <c r="C32" s="12" t="inlineStr">
        <is>
          <t>Pro subscribers to break even</t>
        </is>
      </c>
      <c r="D32" s="15">
        <f>CEILING(B30/D21,1)</f>
        <v/>
      </c>
      <c r="E32" s="8">
        <f> Fixed costs / Pro MRR</f>
        <v/>
      </c>
    </row>
    <row r="33">
      <c r="A33" s="4" t="n"/>
      <c r="B33" s="4" t="n"/>
      <c r="C33" s="4" t="n"/>
      <c r="D33" s="4" t="n"/>
      <c r="E33" s="4" t="n"/>
    </row>
    <row r="34">
      <c r="A34" s="5" t="inlineStr">
        <is>
          <t>── PAYBACK PERIOD</t>
        </is>
      </c>
      <c r="B34" s="4" t="n"/>
      <c r="C34" s="4" t="n"/>
      <c r="D34" s="4" t="n"/>
      <c r="E34" s="4" t="n"/>
    </row>
    <row r="35">
      <c r="A35" s="4" t="n"/>
      <c r="B35" s="12" t="inlineStr">
        <is>
          <t>Starter CAC payback</t>
        </is>
      </c>
      <c r="C35" s="16">
        <f>IFERROR(C8/C20,"-")</f>
        <v/>
      </c>
      <c r="D35" s="4" t="n"/>
      <c r="E35" s="8" t="inlineStr">
        <is>
          <t>Months to recover acquisition cost</t>
        </is>
      </c>
    </row>
    <row r="36">
      <c r="A36" s="4" t="n"/>
      <c r="B36" s="4" t="n"/>
      <c r="C36" s="12" t="inlineStr">
        <is>
          <t>Pro CAC payback</t>
        </is>
      </c>
      <c r="D36" s="16">
        <f>IFERROR(D9/D21,"-")</f>
        <v/>
      </c>
      <c r="E36" s="4" t="n"/>
    </row>
    <row r="37">
      <c r="A37" s="4" t="n"/>
      <c r="B37" s="4" t="n"/>
      <c r="C37" s="4" t="n"/>
      <c r="D37" s="4" t="n"/>
      <c r="E37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2026-05-16T16:48:44Z</dcterms:created>
  <dcterms:modified xmlns:dcterms="http://purl.org/dc/terms/" xmlns:xsi="http://www.w3.org/2001/XMLSchema-instance" xsi:type="dcterms:W3CDTF">2026-05-16T16:48:44Z</dcterms:modified>
</cp:coreProperties>
</file>