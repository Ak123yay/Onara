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8">
    <font>
      <name val="Calibri"/>
      <family val="2"/>
      <color theme="1"/>
      <sz val="11"/>
      <scheme val="minor"/>
    </font>
    <font>
      <name val="Arial"/>
      <b val="1"/>
      <color rgb="003B1F0E"/>
      <sz val="18"/>
    </font>
    <font>
      <name val="Arial"/>
      <color rgb="00C4A882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2A1508"/>
      <sz val="10"/>
    </font>
    <font>
      <name val="Arial"/>
      <color rgb="002980B9"/>
      <sz val="10"/>
    </font>
    <font>
      <name val="Arial"/>
      <b val="1"/>
      <color rgb="002A1508"/>
      <sz val="10"/>
    </font>
  </fonts>
  <fills count="8">
    <fill>
      <patternFill/>
    </fill>
    <fill>
      <patternFill patternType="gray125"/>
    </fill>
    <fill>
      <patternFill patternType="solid">
        <fgColor rgb="003B1F0E"/>
      </patternFill>
    </fill>
    <fill>
      <patternFill patternType="solid">
        <fgColor rgb="006B3F20"/>
      </patternFill>
    </fill>
    <fill>
      <patternFill patternType="solid">
        <fgColor rgb="00EBF5FB"/>
      </patternFill>
    </fill>
    <fill>
      <patternFill patternType="solid">
        <fgColor rgb="00FDF8F0"/>
      </patternFill>
    </fill>
    <fill>
      <patternFill patternType="solid">
        <fgColor rgb="00D4A853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4A882"/>
      </left>
      <right style="thin">
        <color rgb="00C4A882"/>
      </right>
      <top style="thin">
        <color rgb="00C4A882"/>
      </top>
      <bottom style="thin">
        <color rgb="00C4A88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0" customHeight="1">
      <c r="A1" s="1" t="inlineStr">
        <is>
          <t>Onara — 12-Month Revenue Projections</t>
        </is>
      </c>
    </row>
    <row r="2" ht="20" customHeight="1">
      <c r="A2" s="2" t="inlineStr">
        <is>
          <t>Conservative assumptions — update inputs (blue) to model your scenario</t>
        </is>
      </c>
    </row>
    <row r="3">
      <c r="A3" s="3" t="inlineStr">
        <is>
          <t>Metric</t>
        </is>
      </c>
      <c r="B3" s="3" t="inlineStr">
        <is>
          <t>Notes / Formula</t>
        </is>
      </c>
      <c r="C3" s="3" t="inlineStr">
        <is>
          <t>Jan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Aug</t>
        </is>
      </c>
      <c r="K3" s="3" t="inlineStr">
        <is>
          <t>Sep</t>
        </is>
      </c>
      <c r="L3" s="3" t="inlineStr">
        <is>
          <t>Oct</t>
        </is>
      </c>
      <c r="M3" s="3" t="inlineStr">
        <is>
          <t>Nov</t>
        </is>
      </c>
      <c r="N3" s="3" t="inlineStr">
        <is>
          <t>Dec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📊  GROWTH ASSUMPTIONS (blue = your inputs)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6" t="inlineStr">
        <is>
          <t>New signups/month</t>
        </is>
      </c>
      <c r="B6" s="7" t="inlineStr">
        <is>
          <t>Cold outbound + word of mouth</t>
        </is>
      </c>
      <c r="C6" s="8" t="n">
        <v>10</v>
      </c>
      <c r="D6" s="8" t="n">
        <v>15</v>
      </c>
      <c r="E6" s="8" t="n">
        <v>20</v>
      </c>
      <c r="F6" s="8" t="n">
        <v>25</v>
      </c>
      <c r="G6" s="8" t="n">
        <v>30</v>
      </c>
      <c r="H6" s="8" t="n">
        <v>35</v>
      </c>
      <c r="I6" s="8" t="n">
        <v>42</v>
      </c>
      <c r="J6" s="8" t="n">
        <v>50</v>
      </c>
      <c r="K6" s="8" t="n">
        <v>58</v>
      </c>
      <c r="L6" s="8" t="n">
        <v>65</v>
      </c>
      <c r="M6" s="8" t="n">
        <v>72</v>
      </c>
      <c r="N6" s="8" t="n">
        <v>80</v>
      </c>
    </row>
    <row r="7">
      <c r="A7" s="6" t="inlineStr">
        <is>
          <t>Free → Starter conversion %</t>
        </is>
      </c>
      <c r="B7" s="7" t="inlineStr">
        <is>
          <t>Target 8% after first 3 months</t>
        </is>
      </c>
      <c r="C7" s="9" t="n">
        <v>0.03</v>
      </c>
      <c r="D7" s="9" t="n">
        <v>0.04</v>
      </c>
      <c r="E7" s="9" t="n">
        <v>0.05</v>
      </c>
      <c r="F7" s="9" t="n">
        <v>0.06</v>
      </c>
      <c r="G7" s="9" t="n">
        <v>0.07000000000000001</v>
      </c>
      <c r="H7" s="9" t="n">
        <v>0.08</v>
      </c>
      <c r="I7" s="9" t="n">
        <v>0.08</v>
      </c>
      <c r="J7" s="9" t="n">
        <v>0.08</v>
      </c>
      <c r="K7" s="9" t="n">
        <v>0.08</v>
      </c>
      <c r="L7" s="9" t="n">
        <v>0.08</v>
      </c>
      <c r="M7" s="9" t="n">
        <v>0.08</v>
      </c>
      <c r="N7" s="9" t="n">
        <v>0.08</v>
      </c>
    </row>
    <row r="8">
      <c r="A8" s="6" t="inlineStr">
        <is>
          <t>Free → Pro conversion %</t>
        </is>
      </c>
      <c r="B8" s="7" t="inlineStr">
        <is>
          <t>Target 2% after month 4</t>
        </is>
      </c>
      <c r="C8" s="9" t="n">
        <v>0</v>
      </c>
      <c r="D8" s="9" t="n">
        <v>0.01</v>
      </c>
      <c r="E8" s="9" t="n">
        <v>0.01</v>
      </c>
      <c r="F8" s="9" t="n">
        <v>0.02</v>
      </c>
      <c r="G8" s="9" t="n">
        <v>0.02</v>
      </c>
      <c r="H8" s="9" t="n">
        <v>0.02</v>
      </c>
      <c r="I8" s="9" t="n">
        <v>0.02</v>
      </c>
      <c r="J8" s="9" t="n">
        <v>0.02</v>
      </c>
      <c r="K8" s="9" t="n">
        <v>0.02</v>
      </c>
      <c r="L8" s="9" t="n">
        <v>0.02</v>
      </c>
      <c r="M8" s="9" t="n">
        <v>0.02</v>
      </c>
      <c r="N8" s="9" t="n">
        <v>0.02</v>
      </c>
    </row>
    <row r="9">
      <c r="A9" s="6" t="inlineStr">
        <is>
          <t>Monthly churn % (Starter)</t>
        </is>
      </c>
      <c r="B9" s="7" t="inlineStr">
        <is>
          <t>Industry avg 5-8% for this price point</t>
        </is>
      </c>
      <c r="C9" s="9" t="n">
        <v>0.1</v>
      </c>
      <c r="D9" s="9" t="n">
        <v>0.09</v>
      </c>
      <c r="E9" s="9" t="n">
        <v>0.08</v>
      </c>
      <c r="F9" s="9" t="n">
        <v>0.07000000000000001</v>
      </c>
      <c r="G9" s="9" t="n">
        <v>0.07000000000000001</v>
      </c>
      <c r="H9" s="9" t="n">
        <v>0.06</v>
      </c>
      <c r="I9" s="9" t="n">
        <v>0.06</v>
      </c>
      <c r="J9" s="9" t="n">
        <v>0.06</v>
      </c>
      <c r="K9" s="9" t="n">
        <v>0.05</v>
      </c>
      <c r="L9" s="9" t="n">
        <v>0.05</v>
      </c>
      <c r="M9" s="9" t="n">
        <v>0.05</v>
      </c>
      <c r="N9" s="9" t="n">
        <v>0.05</v>
      </c>
    </row>
    <row r="10">
      <c r="A10" s="6" t="inlineStr">
        <is>
          <t>Monthly churn % (Pro)</t>
        </is>
      </c>
      <c r="B10" s="7" t="inlineStr">
        <is>
          <t>Lower churn due to higher investment</t>
        </is>
      </c>
      <c r="C10" s="9" t="n">
        <v>0.05</v>
      </c>
      <c r="D10" s="9" t="n">
        <v>0.05</v>
      </c>
      <c r="E10" s="9" t="n">
        <v>0.05</v>
      </c>
      <c r="F10" s="9" t="n">
        <v>0.04</v>
      </c>
      <c r="G10" s="9" t="n">
        <v>0.04</v>
      </c>
      <c r="H10" s="9" t="n">
        <v>0.04</v>
      </c>
      <c r="I10" s="9" t="n">
        <v>0.04</v>
      </c>
      <c r="J10" s="9" t="n">
        <v>0.04</v>
      </c>
      <c r="K10" s="9" t="n">
        <v>0.03</v>
      </c>
      <c r="L10" s="9" t="n">
        <v>0.03</v>
      </c>
      <c r="M10" s="9" t="n">
        <v>0.03</v>
      </c>
      <c r="N10" s="9" t="n">
        <v>0.03</v>
      </c>
    </row>
    <row r="11">
      <c r="A11" s="6" t="inlineStr">
        <is>
          <t>Trial conversion % (of all trials)</t>
        </is>
      </c>
      <c r="B11" s="7" t="inlineStr">
        <is>
          <t>Target 15% of trials upgrade</t>
        </is>
      </c>
      <c r="C11" s="9" t="n">
        <v>0.05</v>
      </c>
      <c r="D11" s="9" t="n">
        <v>0.08</v>
      </c>
      <c r="E11" s="9" t="n">
        <v>0.1</v>
      </c>
      <c r="F11" s="9" t="n">
        <v>0.12</v>
      </c>
      <c r="G11" s="9" t="n">
        <v>0.13</v>
      </c>
      <c r="H11" s="9" t="n">
        <v>0.14</v>
      </c>
      <c r="I11" s="9" t="n">
        <v>0.15</v>
      </c>
      <c r="J11" s="9" t="n">
        <v>0.15</v>
      </c>
      <c r="K11" s="9" t="n">
        <v>0.15</v>
      </c>
      <c r="L11" s="9" t="n">
        <v>0.15</v>
      </c>
      <c r="M11" s="9" t="n">
        <v>0.15</v>
      </c>
      <c r="N11" s="9" t="n">
        <v>0.15</v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inlineStr">
        <is>
          <t>👥  USER METRICS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6" t="inlineStr">
        <is>
          <t>Cumulative free users</t>
        </is>
      </c>
      <c r="B14" s="6" t="inlineStr">
        <is>
          <t>All signups on free plan</t>
        </is>
      </c>
      <c r="C14" s="10">
        <f>C6</f>
        <v/>
      </c>
      <c r="D14" s="10">
        <f>C14+D6</f>
        <v/>
      </c>
      <c r="E14" s="10">
        <f>D14+E6</f>
        <v/>
      </c>
      <c r="F14" s="10">
        <f>E14+F6</f>
        <v/>
      </c>
      <c r="G14" s="10">
        <f>F14+G6</f>
        <v/>
      </c>
      <c r="H14" s="10">
        <f>G14+H6</f>
        <v/>
      </c>
      <c r="I14" s="10">
        <f>H14+I6</f>
        <v/>
      </c>
      <c r="J14" s="10">
        <f>I14+J6</f>
        <v/>
      </c>
      <c r="K14" s="10">
        <f>J14+K6</f>
        <v/>
      </c>
      <c r="L14" s="10">
        <f>K14+L6</f>
        <v/>
      </c>
      <c r="M14" s="10">
        <f>L14+M6</f>
        <v/>
      </c>
      <c r="N14" s="10">
        <f>M14+N6</f>
        <v/>
      </c>
    </row>
    <row r="15">
      <c r="A15" s="6" t="inlineStr">
        <is>
          <t>Starter subscribers (MoM)</t>
        </is>
      </c>
      <c r="B15" s="6" t="inlineStr">
        <is>
          <t>Accumulated, net of churn</t>
        </is>
      </c>
      <c r="C15" s="10">
        <f>C14*C7</f>
        <v/>
      </c>
      <c r="D15" s="10">
        <f>MAX(0,C15+D14*D7-C15*D9)</f>
        <v/>
      </c>
      <c r="E15" s="10">
        <f>MAX(0,D15+E14*E7-D15*E9)</f>
        <v/>
      </c>
      <c r="F15" s="10">
        <f>MAX(0,E15+F14*F7-E15*F9)</f>
        <v/>
      </c>
      <c r="G15" s="10">
        <f>MAX(0,F15+G14*G7-F15*G9)</f>
        <v/>
      </c>
      <c r="H15" s="10">
        <f>MAX(0,G15+H14*H7-G15*H9)</f>
        <v/>
      </c>
      <c r="I15" s="10">
        <f>MAX(0,H15+I14*I7-H15*I9)</f>
        <v/>
      </c>
      <c r="J15" s="10">
        <f>MAX(0,I15+J14*J7-I15*J9)</f>
        <v/>
      </c>
      <c r="K15" s="10">
        <f>MAX(0,J15+K14*K7-J15*K9)</f>
        <v/>
      </c>
      <c r="L15" s="10">
        <f>MAX(0,K15+L14*L7-K15*L9)</f>
        <v/>
      </c>
      <c r="M15" s="10">
        <f>MAX(0,L15+M14*M7-L15*M9)</f>
        <v/>
      </c>
      <c r="N15" s="10">
        <f>MAX(0,M15+N14*N7-M15*N9)</f>
        <v/>
      </c>
    </row>
    <row r="16">
      <c r="A16" s="6" t="inlineStr">
        <is>
          <t>Pro subscribers (MoM)</t>
        </is>
      </c>
      <c r="B16" s="6" t="inlineStr">
        <is>
          <t>Accumulated, net of churn</t>
        </is>
      </c>
      <c r="C16" s="10">
        <f>C14*C8</f>
        <v/>
      </c>
      <c r="D16" s="10">
        <f>MAX(0,C16+D14*D8-C16*D10)</f>
        <v/>
      </c>
      <c r="E16" s="10">
        <f>MAX(0,D16+E14*E8-D16*E10)</f>
        <v/>
      </c>
      <c r="F16" s="10">
        <f>MAX(0,E16+F14*F8-E16*F10)</f>
        <v/>
      </c>
      <c r="G16" s="10">
        <f>MAX(0,F16+G14*G8-F16*G10)</f>
        <v/>
      </c>
      <c r="H16" s="10">
        <f>MAX(0,G16+H14*H8-G16*H10)</f>
        <v/>
      </c>
      <c r="I16" s="10">
        <f>MAX(0,H16+I14*I8-H16*I10)</f>
        <v/>
      </c>
      <c r="J16" s="10">
        <f>MAX(0,I16+J14*J8-I16*J10)</f>
        <v/>
      </c>
      <c r="K16" s="10">
        <f>MAX(0,J16+K14*K8-J16*K10)</f>
        <v/>
      </c>
      <c r="L16" s="10">
        <f>MAX(0,K16+L14*L8-K16*L10)</f>
        <v/>
      </c>
      <c r="M16" s="10">
        <f>MAX(0,L16+M14*M8-L16*M10)</f>
        <v/>
      </c>
      <c r="N16" s="10">
        <f>MAX(0,M16+N14*N8-M16*N10)</f>
        <v/>
      </c>
    </row>
    <row r="17">
      <c r="A17" s="11" t="inlineStr">
        <is>
          <t>Total paying subscribers</t>
        </is>
      </c>
      <c r="B17" s="4" t="n"/>
      <c r="C17" s="12">
        <f>C15+C16</f>
        <v/>
      </c>
      <c r="D17" s="12">
        <f>D15+D16</f>
        <v/>
      </c>
      <c r="E17" s="12">
        <f>E15+E16</f>
        <v/>
      </c>
      <c r="F17" s="12">
        <f>F15+F16</f>
        <v/>
      </c>
      <c r="G17" s="12">
        <f>G15+G16</f>
        <v/>
      </c>
      <c r="H17" s="12">
        <f>H15+H16</f>
        <v/>
      </c>
      <c r="I17" s="12">
        <f>I15+I16</f>
        <v/>
      </c>
      <c r="J17" s="12">
        <f>J15+J16</f>
        <v/>
      </c>
      <c r="K17" s="12">
        <f>K15+K16</f>
        <v/>
      </c>
      <c r="L17" s="12">
        <f>L15+L16</f>
        <v/>
      </c>
      <c r="M17" s="12">
        <f>M15+M16</f>
        <v/>
      </c>
      <c r="N17" s="12">
        <f>N15+N16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inlineStr">
        <is>
          <t>💰  REVENUE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6" t="inlineStr">
        <is>
          <t>Starter revenue ($12/month)</t>
        </is>
      </c>
      <c r="B20" s="4" t="n"/>
      <c r="C20" s="13">
        <f>C15*12</f>
        <v/>
      </c>
      <c r="D20" s="13">
        <f>D15*12</f>
        <v/>
      </c>
      <c r="E20" s="13">
        <f>E15*12</f>
        <v/>
      </c>
      <c r="F20" s="13">
        <f>F15*12</f>
        <v/>
      </c>
      <c r="G20" s="13">
        <f>G15*12</f>
        <v/>
      </c>
      <c r="H20" s="13">
        <f>H15*12</f>
        <v/>
      </c>
      <c r="I20" s="13">
        <f>I15*12</f>
        <v/>
      </c>
      <c r="J20" s="13">
        <f>J15*12</f>
        <v/>
      </c>
      <c r="K20" s="13">
        <f>K15*12</f>
        <v/>
      </c>
      <c r="L20" s="13">
        <f>L15*12</f>
        <v/>
      </c>
      <c r="M20" s="13">
        <f>M15*12</f>
        <v/>
      </c>
      <c r="N20" s="13">
        <f>N15*12</f>
        <v/>
      </c>
    </row>
    <row r="21">
      <c r="A21" s="6" t="inlineStr">
        <is>
          <t>Pro revenue ($29/month)</t>
        </is>
      </c>
      <c r="B21" s="4" t="n"/>
      <c r="C21" s="13">
        <f>C16*29</f>
        <v/>
      </c>
      <c r="D21" s="13">
        <f>D16*29</f>
        <v/>
      </c>
      <c r="E21" s="13">
        <f>E16*29</f>
        <v/>
      </c>
      <c r="F21" s="13">
        <f>F16*29</f>
        <v/>
      </c>
      <c r="G21" s="13">
        <f>G16*29</f>
        <v/>
      </c>
      <c r="H21" s="13">
        <f>H16*29</f>
        <v/>
      </c>
      <c r="I21" s="13">
        <f>I16*29</f>
        <v/>
      </c>
      <c r="J21" s="13">
        <f>J16*29</f>
        <v/>
      </c>
      <c r="K21" s="13">
        <f>K16*29</f>
        <v/>
      </c>
      <c r="L21" s="13">
        <f>L16*29</f>
        <v/>
      </c>
      <c r="M21" s="13">
        <f>M16*29</f>
        <v/>
      </c>
      <c r="N21" s="13">
        <f>N16*29</f>
        <v/>
      </c>
    </row>
    <row r="22">
      <c r="A22" s="11" t="inlineStr">
        <is>
          <t>MRR (Monthly Recurring Revenue)</t>
        </is>
      </c>
      <c r="B22" s="4" t="n"/>
      <c r="C22" s="14">
        <f>C20+C21</f>
        <v/>
      </c>
      <c r="D22" s="14">
        <f>D20+D21</f>
        <v/>
      </c>
      <c r="E22" s="14">
        <f>E20+E21</f>
        <v/>
      </c>
      <c r="F22" s="14">
        <f>F20+F21</f>
        <v/>
      </c>
      <c r="G22" s="14">
        <f>G20+G21</f>
        <v/>
      </c>
      <c r="H22" s="14">
        <f>H20+H21</f>
        <v/>
      </c>
      <c r="I22" s="14">
        <f>I20+I21</f>
        <v/>
      </c>
      <c r="J22" s="14">
        <f>J20+J21</f>
        <v/>
      </c>
      <c r="K22" s="14">
        <f>K20+K21</f>
        <v/>
      </c>
      <c r="L22" s="14">
        <f>L20+L21</f>
        <v/>
      </c>
      <c r="M22" s="14">
        <f>M20+M21</f>
        <v/>
      </c>
      <c r="N22" s="14">
        <f>N20+N21</f>
        <v/>
      </c>
    </row>
    <row r="23">
      <c r="A23" s="6" t="inlineStr">
        <is>
          <t>ARR (Annualised)</t>
        </is>
      </c>
      <c r="B23" s="4" t="n"/>
      <c r="C23" s="13">
        <f>C22*12</f>
        <v/>
      </c>
      <c r="D23" s="13">
        <f>D22*12</f>
        <v/>
      </c>
      <c r="E23" s="13">
        <f>E22*12</f>
        <v/>
      </c>
      <c r="F23" s="13">
        <f>F22*12</f>
        <v/>
      </c>
      <c r="G23" s="13">
        <f>G22*12</f>
        <v/>
      </c>
      <c r="H23" s="13">
        <f>H22*12</f>
        <v/>
      </c>
      <c r="I23" s="13">
        <f>I22*12</f>
        <v/>
      </c>
      <c r="J23" s="13">
        <f>J22*12</f>
        <v/>
      </c>
      <c r="K23" s="13">
        <f>K22*12</f>
        <v/>
      </c>
      <c r="L23" s="13">
        <f>L22*12</f>
        <v/>
      </c>
      <c r="M23" s="13">
        <f>M22*12</f>
        <v/>
      </c>
      <c r="N23" s="13">
        <f>N22*12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inlineStr">
        <is>
          <t>💸  COSTS (monthly)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6" t="inlineStr">
        <is>
          <t>Supabase (Pro after 500MB)</t>
        </is>
      </c>
      <c r="B26" s="7" t="inlineStr">
        <is>
          <t>Estimated</t>
        </is>
      </c>
      <c r="C26" s="13" t="n">
        <v>0</v>
      </c>
      <c r="D26" s="13" t="n">
        <v>0</v>
      </c>
      <c r="E26" s="13" t="n">
        <v>0</v>
      </c>
      <c r="F26" s="13" t="n">
        <v>25</v>
      </c>
      <c r="G26" s="13" t="n">
        <v>25</v>
      </c>
      <c r="H26" s="13" t="n">
        <v>25</v>
      </c>
      <c r="I26" s="13" t="n">
        <v>25</v>
      </c>
      <c r="J26" s="13" t="n">
        <v>25</v>
      </c>
      <c r="K26" s="13" t="n">
        <v>25</v>
      </c>
      <c r="L26" s="13" t="n">
        <v>25</v>
      </c>
      <c r="M26" s="13" t="n">
        <v>25</v>
      </c>
      <c r="N26" s="13" t="n">
        <v>25</v>
      </c>
    </row>
    <row r="27">
      <c r="A27" s="6" t="inlineStr">
        <is>
          <t>Vercel (Pro after hobby limits)</t>
        </is>
      </c>
      <c r="B27" s="7" t="inlineStr">
        <is>
          <t>Estimated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20</v>
      </c>
      <c r="H27" s="13" t="n">
        <v>20</v>
      </c>
      <c r="I27" s="13" t="n">
        <v>20</v>
      </c>
      <c r="J27" s="13" t="n">
        <v>20</v>
      </c>
      <c r="K27" s="13" t="n">
        <v>20</v>
      </c>
      <c r="L27" s="13" t="n">
        <v>20</v>
      </c>
      <c r="M27" s="13" t="n">
        <v>20</v>
      </c>
      <c r="N27" s="13" t="n">
        <v>20</v>
      </c>
    </row>
    <row r="28">
      <c r="A28" s="6" t="inlineStr">
        <is>
          <t>NVIDIA NIM (free tier covers launch)</t>
        </is>
      </c>
      <c r="B28" s="7" t="inlineStr">
        <is>
          <t>Estimated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50</v>
      </c>
      <c r="J28" s="13" t="n">
        <v>50</v>
      </c>
      <c r="K28" s="13" t="n">
        <v>100</v>
      </c>
      <c r="L28" s="13" t="n">
        <v>100</v>
      </c>
      <c r="M28" s="13" t="n">
        <v>150</v>
      </c>
      <c r="N28" s="13" t="n">
        <v>200</v>
      </c>
    </row>
    <row r="29">
      <c r="A29" s="6" t="inlineStr">
        <is>
          <t>Google Places API</t>
        </is>
      </c>
      <c r="B29" s="7" t="inlineStr">
        <is>
          <t>Estimated</t>
        </is>
      </c>
      <c r="C29" s="13" t="n">
        <v>0</v>
      </c>
      <c r="D29" s="13" t="n">
        <v>0</v>
      </c>
      <c r="E29" s="13" t="n">
        <v>5</v>
      </c>
      <c r="F29" s="13" t="n">
        <v>10</v>
      </c>
      <c r="G29" s="13" t="n">
        <v>15</v>
      </c>
      <c r="H29" s="13" t="n">
        <v>20</v>
      </c>
      <c r="I29" s="13" t="n">
        <v>25</v>
      </c>
      <c r="J29" s="13" t="n">
        <v>30</v>
      </c>
      <c r="K29" s="13" t="n">
        <v>35</v>
      </c>
      <c r="L29" s="13" t="n">
        <v>40</v>
      </c>
      <c r="M29" s="13" t="n">
        <v>45</v>
      </c>
      <c r="N29" s="13" t="n">
        <v>50</v>
      </c>
    </row>
    <row r="30">
      <c r="A30" s="6" t="inlineStr">
        <is>
          <t>Stripe fees (2.9%+$0.30 per tx, est.)</t>
        </is>
      </c>
      <c r="B30" s="7" t="inlineStr">
        <is>
          <t>Estimated</t>
        </is>
      </c>
      <c r="C30" s="13" t="n">
        <v>5</v>
      </c>
      <c r="D30" s="13" t="n">
        <v>8</v>
      </c>
      <c r="E30" s="13" t="n">
        <v>12</v>
      </c>
      <c r="F30" s="13" t="n">
        <v>18</v>
      </c>
      <c r="G30" s="13" t="n">
        <v>24</v>
      </c>
      <c r="H30" s="13" t="n">
        <v>30</v>
      </c>
      <c r="I30" s="13" t="n">
        <v>38</v>
      </c>
      <c r="J30" s="13" t="n">
        <v>47</v>
      </c>
      <c r="K30" s="13" t="n">
        <v>56</v>
      </c>
      <c r="L30" s="13" t="n">
        <v>65</v>
      </c>
      <c r="M30" s="13" t="n">
        <v>74</v>
      </c>
      <c r="N30" s="13" t="n">
        <v>83</v>
      </c>
    </row>
    <row r="31">
      <c r="A31" s="6" t="inlineStr">
        <is>
          <t>Resend email (free up to 3K/mo)</t>
        </is>
      </c>
      <c r="B31" s="7" t="inlineStr">
        <is>
          <t>Estimated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20</v>
      </c>
      <c r="J31" s="13" t="n">
        <v>20</v>
      </c>
      <c r="K31" s="13" t="n">
        <v>20</v>
      </c>
      <c r="L31" s="13" t="n">
        <v>20</v>
      </c>
      <c r="M31" s="13" t="n">
        <v>20</v>
      </c>
      <c r="N31" s="13" t="n">
        <v>20</v>
      </c>
    </row>
    <row r="32">
      <c r="A32" s="6" t="inlineStr">
        <is>
          <t>Domain + misc</t>
        </is>
      </c>
      <c r="B32" s="7" t="inlineStr">
        <is>
          <t>Estimated</t>
        </is>
      </c>
      <c r="C32" s="13" t="n">
        <v>5</v>
      </c>
      <c r="D32" s="13" t="n">
        <v>5</v>
      </c>
      <c r="E32" s="13" t="n">
        <v>5</v>
      </c>
      <c r="F32" s="13" t="n">
        <v>5</v>
      </c>
      <c r="G32" s="13" t="n">
        <v>5</v>
      </c>
      <c r="H32" s="13" t="n">
        <v>5</v>
      </c>
      <c r="I32" s="13" t="n">
        <v>5</v>
      </c>
      <c r="J32" s="13" t="n">
        <v>5</v>
      </c>
      <c r="K32" s="13" t="n">
        <v>5</v>
      </c>
      <c r="L32" s="13" t="n">
        <v>5</v>
      </c>
      <c r="M32" s="13" t="n">
        <v>5</v>
      </c>
      <c r="N32" s="13" t="n">
        <v>5</v>
      </c>
    </row>
    <row r="33">
      <c r="A33" s="11" t="inlineStr">
        <is>
          <t>Total Monthly Costs</t>
        </is>
      </c>
      <c r="B33" s="4" t="n"/>
      <c r="C33" s="15">
        <f>C26+C27+C28+C29+C30+C31+C32</f>
        <v/>
      </c>
      <c r="D33" s="15">
        <f>D26+D27+D28+D29+D30+D31+D32</f>
        <v/>
      </c>
      <c r="E33" s="15">
        <f>E26+E27+E28+E29+E30+E31+E32</f>
        <v/>
      </c>
      <c r="F33" s="15">
        <f>F26+F27+F28+F29+F30+F31+F32</f>
        <v/>
      </c>
      <c r="G33" s="15">
        <f>G26+G27+G28+G29+G30+G31+G32</f>
        <v/>
      </c>
      <c r="H33" s="15">
        <f>H26+H27+H28+H29+H30+H31+H32</f>
        <v/>
      </c>
      <c r="I33" s="15">
        <f>I26+I27+I28+I29+I30+I31+I32</f>
        <v/>
      </c>
      <c r="J33" s="15">
        <f>J26+J27+J28+J29+J30+J31+J32</f>
        <v/>
      </c>
      <c r="K33" s="15">
        <f>K26+K27+K28+K29+K30+K31+K32</f>
        <v/>
      </c>
      <c r="L33" s="15">
        <f>L26+L27+L28+L29+L30+L31+L32</f>
        <v/>
      </c>
      <c r="M33" s="15">
        <f>M26+M27+M28+M29+M30+M31+M32</f>
        <v/>
      </c>
      <c r="N33" s="15">
        <f>N26+N27+N28+N29+N30+N31+N32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5" t="inlineStr">
        <is>
          <t>📈  PROFIT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11" t="inlineStr">
        <is>
          <t>Net Profit / (Loss)</t>
        </is>
      </c>
      <c r="B36" s="4" t="n"/>
      <c r="C36" s="16">
        <f>C22-C33</f>
        <v/>
      </c>
      <c r="D36" s="16">
        <f>D22-D33</f>
        <v/>
      </c>
      <c r="E36" s="16">
        <f>E22-E33</f>
        <v/>
      </c>
      <c r="F36" s="16">
        <f>F22-F33</f>
        <v/>
      </c>
      <c r="G36" s="16">
        <f>G22-G33</f>
        <v/>
      </c>
      <c r="H36" s="16">
        <f>H22-H33</f>
        <v/>
      </c>
      <c r="I36" s="16">
        <f>I22-I33</f>
        <v/>
      </c>
      <c r="J36" s="16">
        <f>J22-J33</f>
        <v/>
      </c>
      <c r="K36" s="16">
        <f>K22-K33</f>
        <v/>
      </c>
      <c r="L36" s="16">
        <f>L22-L33</f>
        <v/>
      </c>
      <c r="M36" s="16">
        <f>M22-M33</f>
        <v/>
      </c>
      <c r="N36" s="16">
        <f>N22-N33</f>
        <v/>
      </c>
    </row>
    <row r="37">
      <c r="A37" s="11" t="inlineStr">
        <is>
          <t>Gross Margin %</t>
        </is>
      </c>
      <c r="B37" s="4" t="n"/>
      <c r="C37" s="17">
        <f>IFERROR(C36/C22,"-")</f>
        <v/>
      </c>
      <c r="D37" s="17">
        <f>IFERROR(D36/D22,"-")</f>
        <v/>
      </c>
      <c r="E37" s="17">
        <f>IFERROR(E36/E22,"-")</f>
        <v/>
      </c>
      <c r="F37" s="17">
        <f>IFERROR(F36/F22,"-")</f>
        <v/>
      </c>
      <c r="G37" s="17">
        <f>IFERROR(G36/G22,"-")</f>
        <v/>
      </c>
      <c r="H37" s="17">
        <f>IFERROR(H36/H22,"-")</f>
        <v/>
      </c>
      <c r="I37" s="17">
        <f>IFERROR(I36/I22,"-")</f>
        <v/>
      </c>
      <c r="J37" s="17">
        <f>IFERROR(J36/J22,"-")</f>
        <v/>
      </c>
      <c r="K37" s="17">
        <f>IFERROR(K36/K22,"-")</f>
        <v/>
      </c>
      <c r="L37" s="17">
        <f>IFERROR(L36/L22,"-")</f>
        <v/>
      </c>
      <c r="M37" s="17">
        <f>IFERROR(M36/M22,"-")</f>
        <v/>
      </c>
      <c r="N37" s="17">
        <f>IFERROR(N36/N22,"-")</f>
        <v/>
      </c>
    </row>
  </sheetData>
  <mergeCells count="5">
    <mergeCell ref="A35:N35"/>
    <mergeCell ref="A25:N25"/>
    <mergeCell ref="A19:N19"/>
    <mergeCell ref="A5:N5"/>
    <mergeCell ref="A13:N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2026-05-16T16:48:44Z</dcterms:created>
  <dcterms:modified xmlns:dcterms="http://purl.org/dc/terms/" xmlns:xsi="http://www.w3.org/2001/XMLSchema-instance" xsi:type="dcterms:W3CDTF">2026-05-16T16:48:44Z</dcterms:modified>
</cp:coreProperties>
</file>